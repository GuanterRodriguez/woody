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guanter-my.sharepoint.com/personal/g-clarabon_grlog_com/Documents/N8N/COMPTE DE VENTE/TEMPLATE FICHIER/"/>
    </mc:Choice>
  </mc:AlternateContent>
  <xr:revisionPtr revIDLastSave="830" documentId="13_ncr:1_{D2FB8882-5D55-44C8-8B5C-91962DE9C15A}" xr6:coauthVersionLast="47" xr6:coauthVersionMax="47" xr10:uidLastSave="{723E1BCB-53BF-4F1D-AFF7-CB13AB970F9B}"/>
  <bookViews>
    <workbookView xWindow="28680" yWindow="-120" windowWidth="29040" windowHeight="15840" xr2:uid="{E9DF1F0B-6D9F-4F64-9502-69DD32242ED6}"/>
  </bookViews>
  <sheets>
    <sheet name="MATRICE" sheetId="3" r:id="rId1"/>
    <sheet name="LIGNE DE VENTE" sheetId="4" r:id="rId2"/>
    <sheet name="INFORMATIONS" sheetId="5" r:id="rId3"/>
  </sheets>
  <calcPr calcId="191028"/>
  <pivotCaches>
    <pivotCache cacheId="589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 a="1"/>
  <c r="D5" i="3"/>
  <c r="B5" i="3" a="1"/>
  <c r="B5" i="3"/>
  <c r="C6" i="3" a="1"/>
  <c r="C6" i="3"/>
  <c r="B6" i="3" a="1"/>
  <c r="B6" i="3"/>
  <c r="D15" i="3" a="1"/>
  <c r="D15" i="3" s="1"/>
  <c r="D14" i="3" a="1"/>
  <c r="D14" i="3" s="1"/>
  <c r="D16" i="3" s="1"/>
  <c r="D27" i="3" a="1"/>
  <c r="D27" i="3"/>
  <c r="D26" i="3" a="1"/>
  <c r="D26" i="3"/>
  <c r="D24" i="3" a="1"/>
  <c r="D24" i="3"/>
  <c r="D23" i="3" a="1"/>
  <c r="D23" i="3"/>
  <c r="D22" i="3" a="1"/>
  <c r="D22" i="3"/>
  <c r="D31" i="3" s="1"/>
  <c r="D9" i="3" a="1"/>
  <c r="D9" i="3"/>
  <c r="D10" i="3" a="1"/>
  <c r="D10" i="3"/>
  <c r="D11" i="3" a="1"/>
  <c r="D11" i="3"/>
  <c r="D19" i="3"/>
  <c r="D30" i="3" s="1"/>
  <c r="D20" i="3"/>
  <c r="B38" i="3" s="1"/>
  <c r="D32" i="3" l="1"/>
  <c r="B3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<sst xmlns="http://schemas.openxmlformats.org/spreadsheetml/2006/main" count="54" uniqueCount="51">
  <si>
    <t>GUANTER RODRIGUEZ</t>
  </si>
  <si>
    <t>RUE DE LISBONNE - BP 15356
66033 PERPIGNAN CEDEX</t>
  </si>
  <si>
    <t>RESULTAT DE COMPTE DE VENTE</t>
  </si>
  <si>
    <t>Date du camion :</t>
  </si>
  <si>
    <t>Matricule du camion :</t>
  </si>
  <si>
    <t>Produit  selectionné :</t>
  </si>
  <si>
    <t>Déclaration</t>
  </si>
  <si>
    <t>Poids déclaré</t>
  </si>
  <si>
    <t>Prix unitaire déclaré</t>
  </si>
  <si>
    <t>Prix déclaré</t>
  </si>
  <si>
    <t>Détail des calculs</t>
  </si>
  <si>
    <t>Prix unitaire retenu (€/kg) :</t>
  </si>
  <si>
    <t>Poids net total (kg) :</t>
  </si>
  <si>
    <t>Frais de commission (€) :</t>
  </si>
  <si>
    <t>Frais de transit (€) :</t>
  </si>
  <si>
    <t>Autres frais (€) :</t>
  </si>
  <si>
    <t>Frais transport UE :</t>
  </si>
  <si>
    <t>Frais transport INT :</t>
  </si>
  <si>
    <t>Valeur brute (€)</t>
  </si>
  <si>
    <t xml:space="preserve">Frais totaux (€) </t>
  </si>
  <si>
    <t xml:space="preserve">Valeur nette (€) </t>
  </si>
  <si>
    <t>Résultat</t>
  </si>
  <si>
    <t>client</t>
  </si>
  <si>
    <t>produit</t>
  </si>
  <si>
    <t>colis</t>
  </si>
  <si>
    <t>poids_brut</t>
  </si>
  <si>
    <t>poids_net</t>
  </si>
  <si>
    <t>prix_unitaire_net</t>
  </si>
  <si>
    <t>Somme de poids_net</t>
  </si>
  <si>
    <t>VINAS S</t>
  </si>
  <si>
    <t>PIMENT STARTER 4 KNET</t>
  </si>
  <si>
    <t>LUCEN-F</t>
  </si>
  <si>
    <t>Produit</t>
  </si>
  <si>
    <t>Camion</t>
  </si>
  <si>
    <t>Date d'arrivée du camion</t>
  </si>
  <si>
    <t>Frais de transit</t>
  </si>
  <si>
    <t>Frais Commission</t>
  </si>
  <si>
    <t>Autre frais</t>
  </si>
  <si>
    <t>Frais UE</t>
  </si>
  <si>
    <t>Frais INT</t>
  </si>
  <si>
    <t>Prix déclaré (au kilo)</t>
  </si>
  <si>
    <t>Date BAE</t>
  </si>
  <si>
    <t>Dossier</t>
  </si>
  <si>
    <t>Client</t>
  </si>
  <si>
    <t>Fournisseur</t>
  </si>
  <si>
    <t>N° Déclaration</t>
  </si>
  <si>
    <t>PIMENT</t>
  </si>
  <si>
    <t>25MI03235</t>
  </si>
  <si>
    <t>PAVIFRUITS   SAS</t>
  </si>
  <si>
    <t>IRADA PRIMEURS</t>
  </si>
  <si>
    <t>26FRD0000715676MR0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</si>
</sst>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3" formatCode="_-* #,##0.00_-;\-* #,##0.00_-;_-* &quot;-&quot;??_-;_-@_-"/>
    <numFmt numFmtId="164" formatCode="_-* #,##0_-;\-* #,##0_-;_-* &quot;-&quot;??_-;_-@_-"/>
    <numFmt numFmtId="165" formatCode="_-* #,##0.00\ [$€-40C]_-;\-* #,##0.00\ [$€-40C]_-;_-* &quot;-&quot;??\ [$€-40C]_-;_-@_-"/>
  </numFmts>
  <fonts count="1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9"/>
      <color theme="0"/>
      <name val="Aptos Narrow"/>
      <family val="2"/>
    </font>
    <font>
      <b/>
      <sz val="14"/>
      <color rgb="FF000000"/>
      <name val="Aptos Narrow"/>
      <family val="2"/>
    </font>
    <font>
      <b/>
      <sz val="16"/>
      <color rgb="FF000000"/>
      <name val="Aptos Narrow"/>
      <family val="2"/>
    </font>
    <font>
      <b/>
      <sz val="22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8" fontId="1" fillId="0" borderId="0" xfId="0" applyNumberFormat="1" applyFont="1" applyAlignment="1">
      <alignment horizontal="center"/>
    </xf>
    <xf numFmtId="0" fontId="2" fillId="0" borderId="2" xfId="0" applyFont="1" applyBorder="1"/>
    <xf numFmtId="8" fontId="1" fillId="0" borderId="0" xfId="0" applyNumberFormat="1" applyFont="1" applyAlignment="1">
      <alignment horizontal="right"/>
    </xf>
    <xf numFmtId="0" fontId="1" fillId="0" borderId="6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/>
    </xf>
    <xf numFmtId="0" fontId="1" fillId="0" borderId="9" xfId="0" applyFont="1" applyBorder="1"/>
    <xf numFmtId="0" fontId="1" fillId="0" borderId="1" xfId="0" applyFont="1" applyBorder="1" applyAlignment="1">
      <alignment horizontal="center"/>
    </xf>
    <xf numFmtId="164" fontId="1" fillId="0" borderId="0" xfId="1" applyNumberFormat="1" applyFont="1" applyAlignment="1">
      <alignment horizontal="right"/>
    </xf>
    <xf numFmtId="0" fontId="1" fillId="0" borderId="0" xfId="0" applyFont="1" applyAlignment="1">
      <alignment horizontal="center"/>
    </xf>
    <xf numFmtId="8" fontId="4" fillId="0" borderId="3" xfId="0" applyNumberFormat="1" applyFont="1" applyBorder="1"/>
    <xf numFmtId="0" fontId="9" fillId="0" borderId="0" xfId="0" applyFont="1" applyAlignment="1">
      <alignment horizontal="center" vertical="center"/>
    </xf>
    <xf numFmtId="0" fontId="0" fillId="0" borderId="0" xfId="0" pivotButton="1"/>
    <xf numFmtId="165" fontId="0" fillId="0" borderId="0" xfId="0" applyNumberFormat="1"/>
    <xf numFmtId="43" fontId="0" fillId="0" borderId="0" xfId="0" applyNumberFormat="1"/>
    <xf numFmtId="0" fontId="1" fillId="0" borderId="4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center" vertical="top"/>
    </xf>
    <xf numFmtId="8" fontId="0" fillId="0" borderId="0" xfId="0" applyNumberFormat="1"/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11" fillId="3" borderId="1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12" fillId="0" borderId="10" xfId="0" applyFont="1" applyBorder="1" applyAlignment="1">
      <alignment horizontal="left" vertical="center"/>
    </xf>
    <xf numFmtId="0" fontId="0" fillId="0" borderId="0" xfId="0" applyNumberFormat="1"/>
    <xf numFmtId="14" fontId="0" fillId="0" borderId="0" xfId="0" applyNumberFormat="1"/>
  </cellXfs>
  <cellStyles count="2">
    <cellStyle name="Milliers" xfId="1" builtinId="3"/>
    <cellStyle name="Normal" xfId="0" builtinId="0"/>
  </cellStyles>
  <dxfs count="8">
    <dxf>
      <numFmt numFmtId="19" formatCode="dd/mm/yyyy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* #,##0.00\ [$€-40C]_-;\-* #,##0.00\ [$€-40C]_-;_-* &quot;-&quot;??\ [$€-40C]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64.751155555554" createdVersion="8" refreshedVersion="8" minRefreshableVersion="3" recordCount="2" xr:uid="{FB6CC3B4-8A3A-464A-A400-F9C41E4C3DAF}">
  <cacheSource type="worksheet">
    <worksheetSource name="ligne_de_vente"/>
  </cacheSource>
  <cacheFields count="6">
    <cacheField name="client" numFmtId="0">
      <sharedItems/>
    </cacheField>
    <cacheField name="produit" numFmtId="0">
      <sharedItems/>
    </cacheField>
    <cacheField name="colis" numFmtId="0">
      <sharedItems containsSemiMixedTypes="0" containsString="0" containsNumber="1" containsInteger="1" minValue="160" maxValue="160"/>
    </cacheField>
    <cacheField name="poids_brut" numFmtId="0">
      <sharedItems containsSemiMixedTypes="0" containsString="0" containsNumber="1" containsInteger="1" minValue="670" maxValue="703"/>
    </cacheField>
    <cacheField name="poids_net" numFmtId="0">
      <sharedItems containsSemiMixedTypes="0" containsString="0" containsNumber="1" containsInteger="1" minValue="640" maxValue="640"/>
    </cacheField>
    <cacheField name="prix_unitaire_net" numFmtId="0">
      <sharedItems containsSemiMixedTypes="0" containsString="0" containsNumber="1" minValue="0.35" maxValue="3.38" count="26">
        <n v="1.38"/>
        <n v="1.5"/>
        <n v="0.5" u="1"/>
        <n v="0.44" u="1"/>
        <n v="0.7" u="1"/>
        <n v="0.73" u="1"/>
        <n v="0.35" u="1"/>
        <n v="1.0900000000000001" u="1"/>
        <n v="1" u="1"/>
        <n v="1.2" u="1"/>
        <n v="1.1000000000000001" u="1"/>
        <n v="2.23" u="1"/>
        <n v="3.38" u="1"/>
        <n v="1.9" u="1"/>
        <n v="1.7" u="1"/>
        <n v="1.8" u="1"/>
        <n v="2" u="1"/>
        <n v="2.21" u="1"/>
        <n v="2.1" u="1"/>
        <n v="2.99" u="1"/>
        <n v="1.99" u="1"/>
        <n v="2.09" u="1"/>
        <n v="2.0499999999999998" u="1"/>
        <n v="2.2000000000000002" u="1"/>
        <n v="1.39" u="1"/>
        <n v="1.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VINAS S"/>
    <s v="PIMENT STARTER 4 KNET"/>
    <n v="160"/>
    <n v="670"/>
    <n v="640"/>
    <x v="0"/>
  </r>
  <r>
    <s v="LUCEN-F"/>
    <s v="PIMENT STARTER 4 KNET"/>
    <n v="160"/>
    <n v="703"/>
    <n v="64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7B943-CF89-42F5-8312-4F98A5E087F1}" name="PGQV" cacheId="5898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>
  <location ref="H1:I3" firstHeaderRow="1" firstDataRow="1" firstDataCol="1"/>
  <pivotFields count="6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27">
        <item m="1" x="17"/>
        <item m="1" x="18"/>
        <item m="1" x="19"/>
        <item m="1" x="20"/>
        <item m="1" x="21"/>
        <item m="1" x="22"/>
        <item m="1" x="23"/>
        <item m="1" x="24"/>
        <item m="1" x="25"/>
        <item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2">
    <i>
      <x v="25"/>
    </i>
    <i>
      <x v="9"/>
    </i>
  </rowItems>
  <colItems count="1">
    <i/>
  </colItems>
  <dataFields count="1">
    <dataField name="Somme de poids_net" fld="4" baseField="0" baseItem="0" numFmtId="43"/>
  </dataFields>
  <formats count="2">
    <format dxfId="6">
      <pivotArea dataOnly="0" labelOnly="1" outline="0" fieldPosition="0">
        <references count="1">
          <reference field="5" count="0"/>
        </references>
      </pivotArea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C251C-24C3-4D62-930C-B21DF4B3822C}" name="ligne_de_vente" displayName="ligne_de_vente" ref="A1:F3" totalsRowShown="0">
  <autoFilter ref="A1:F3" xr:uid="{3D4C251C-24C3-4D62-930C-B21DF4B3822C}"/>
  <tableColumns count="6">
    <tableColumn id="1" xr3:uid="{0233586A-4BA3-458E-B4A8-660F63334E74}" name="client"/>
    <tableColumn id="2" xr3:uid="{B6EBD757-4BB2-4ED9-9BD5-2AE4A2B052A4}" name="produit"/>
    <tableColumn id="3" xr3:uid="{80CB6F49-4173-4055-A6BC-07216C908E05}" name="colis"/>
    <tableColumn id="4" xr3:uid="{39AE5C4E-09A8-4E4F-9314-2BFEBA7BD46F}" name="poids_brut"/>
    <tableColumn id="5" xr3:uid="{749FCB59-8940-42DF-AF1C-B1D6FBBEBF0E}" name="poids_net"/>
    <tableColumn id="6" xr3:uid="{6E2588AB-A67A-4EC0-A25F-FB4ACFD2BA7F}" name="prix_unitaire_n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DF256E-C5E7-4FE4-985B-313C7E6D001C}" name="INFORMATIONS" displayName="INFORMATIONS" ref="A1:O2" totalsRowShown="0">
  <autoFilter ref="A1:O2" xr:uid="{29DF256E-C5E7-4FE4-985B-313C7E6D001C}"/>
  <tableColumns count="15">
    <tableColumn id="1" xr3:uid="{4B01BADA-0595-479E-B713-229A6A937C11}" name="Produit"/>
    <tableColumn id="2" xr3:uid="{3D133DC2-276F-4E32-A117-7C51D659AB18}" name="Camion"/>
    <tableColumn id="3" xr3:uid="{77F01FB6-5A11-4B94-B285-9950A796675C}" name="Date d'arrivée du camion"/>
    <tableColumn id="4" xr3:uid="{E6D090C2-106E-4415-932D-90D2365F952B}" name="Frais de transit"/>
    <tableColumn id="5" xr3:uid="{2E6695EF-EB1F-49B0-B21D-BB817CC9ED84}" name="Frais Commission"/>
    <tableColumn id="6" xr3:uid="{9922FD49-D705-4936-8C8E-96DD4A8122C3}" name="Autre frais"/>
    <tableColumn id="7" xr3:uid="{12DBF9FF-33E7-4852-BBF3-4C5D52B40F66}" name="Frais UE"/>
    <tableColumn id="8" xr3:uid="{D8F6BE3D-6DFF-4977-9E00-B43A4D98C203}" name="Frais INT"/>
    <tableColumn id="9" xr3:uid="{46554B5B-EDFB-446A-A7D1-B9849A4EC0E0}" name="Poids déclaré" dataDxfId="1"/>
    <tableColumn id="10" xr3:uid="{69630C92-78F6-43EA-B5CC-57ACEE910946}" name="Prix déclaré (au kilo)"/>
    <tableColumn id="11" xr3:uid="{6EF1767D-C28F-4FB5-A952-AEDEE81AA705}" name="Date BAE" dataDxfId="0"/>
    <tableColumn id="12" xr3:uid="{D6035F4A-B75B-4DF9-B183-7371458BE0FB}" name="Dossier"/>
    <tableColumn id="13" xr3:uid="{3E54EBA6-4F37-4902-A125-4A2575838FDE}" name="Client"/>
    <tableColumn id="14" xr3:uid="{B6D07F31-72D0-4FCB-828A-F897209D8665}" name="Fournisseur"/>
    <tableColumn id="15" xr3:uid="{1A4E32BB-FC96-4069-9E53-C26E036C6D04}" name="N° Décla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B1E1-C426-40D4-8ED9-847EFBFF8C9C}">
  <sheetPr>
    <pageSetUpPr fitToPage="1"/>
  </sheetPr>
  <dimension ref="A1:E39"/>
  <sheetViews>
    <sheetView tabSelected="1" topLeftCell="A32" workbookViewId="0">
      <selection activeCell="B38" sqref="B38:D38"/>
    </sheetView>
  </sheetViews>
  <sheetFormatPr defaultColWidth="0" defaultRowHeight="15" zeroHeight="1"/>
  <cols>
    <col min="1" max="1" width="13" customWidth="1"/>
    <col min="2" max="4" width="20.42578125" customWidth="1"/>
    <col min="5" max="5" width="13" customWidth="1"/>
  </cols>
  <sheetData>
    <row r="1" spans="1:5" ht="26.25">
      <c r="A1" s="36" t="s">
        <v>0</v>
      </c>
      <c r="B1" s="37"/>
      <c r="C1" s="37"/>
      <c r="D1" s="37"/>
      <c r="E1" s="38"/>
    </row>
    <row r="2" spans="1:5" ht="24.75" customHeight="1">
      <c r="A2" s="40" t="s">
        <v>1</v>
      </c>
      <c r="B2" s="41"/>
      <c r="C2" s="41"/>
      <c r="D2" s="41"/>
      <c r="E2" s="42"/>
    </row>
    <row r="3" spans="1:5" ht="46.5" customHeight="1">
      <c r="B3" s="39" t="s">
        <v>2</v>
      </c>
      <c r="C3" s="39"/>
      <c r="D3" s="39"/>
    </row>
    <row r="4" spans="1:5" ht="35.25" customHeight="1">
      <c r="B4" s="15"/>
      <c r="C4" s="23"/>
      <c r="D4" s="15"/>
    </row>
    <row r="5" spans="1:5" ht="17.25" customHeight="1">
      <c r="B5" s="26" t="str" cm="1">
        <f t="array" ref="B5">INFORMATIONS[Fournisseur]</f>
        <v>IRADA PRIMEURS</v>
      </c>
      <c r="D5" s="26" t="str" cm="1">
        <f t="array" ref="D5">INFORMATIONS[Client]</f>
        <v>PAVIFRUITS   SAS</v>
      </c>
    </row>
    <row r="6" spans="1:5" ht="17.25" customHeight="1">
      <c r="B6" s="27" t="str" cm="1">
        <f t="array" ref="B6">INFORMATIONS[Dossier]</f>
        <v>25MI03235</v>
      </c>
      <c r="C6" s="44" t="str" cm="1">
        <f t="array" ref="C6">INFORMATIONS[N° Déclaration]</f>
        <v>26FRD0000715676MR0</v>
      </c>
      <c r="D6" s="44"/>
    </row>
    <row r="7" spans="1:5">
      <c r="D7" s="25"/>
    </row>
    <row r="8" spans="1:5" ht="14.25" customHeight="1">
      <c r="B8" s="15"/>
      <c r="C8" s="15"/>
      <c r="D8" s="15"/>
    </row>
    <row r="9" spans="1:5">
      <c r="B9" s="6" t="s">
        <v>3</v>
      </c>
      <c r="C9" s="7"/>
      <c r="D9" s="20" cm="1">
        <f t="array" ref="D9">INFORMATIONS[Date d''arrivée du camion]</f>
        <v>46039</v>
      </c>
    </row>
    <row r="10" spans="1:5">
      <c r="B10" s="8" t="s">
        <v>4</v>
      </c>
      <c r="D10" s="9" cm="1">
        <f t="array" ref="D10">INFORMATIONS[Camion]</f>
        <v>905602</v>
      </c>
    </row>
    <row r="11" spans="1:5">
      <c r="B11" s="10" t="s">
        <v>5</v>
      </c>
      <c r="C11" s="11"/>
      <c r="D11" s="19" t="str" cm="1">
        <f t="array" ref="D11">INFORMATIONS[Produit]</f>
        <v>PIMENT</v>
      </c>
    </row>
    <row r="12" spans="1:5" ht="39" customHeight="1">
      <c r="B12" s="1"/>
      <c r="C12" s="13"/>
      <c r="D12" s="1"/>
    </row>
    <row r="13" spans="1:5" ht="18.75" customHeight="1">
      <c r="B13" s="31" t="s">
        <v>6</v>
      </c>
      <c r="C13" s="31"/>
      <c r="D13" s="31"/>
    </row>
    <row r="14" spans="1:5" ht="15" customHeight="1">
      <c r="B14" s="43" t="s">
        <v>7</v>
      </c>
      <c r="C14" s="43"/>
      <c r="D14" cm="1">
        <f t="array" ref="D14">INFORMATIONS[Poids déclaré]</f>
        <v>1280</v>
      </c>
    </row>
    <row r="15" spans="1:5" ht="15" customHeight="1">
      <c r="B15" s="43" t="s">
        <v>8</v>
      </c>
      <c r="C15" s="43"/>
      <c r="D15" s="24" cm="1">
        <f t="array" ref="D15">INFORMATIONS[Prix déclaré (au kilo)]</f>
        <v>1.3</v>
      </c>
    </row>
    <row r="16" spans="1:5" ht="15" customHeight="1">
      <c r="B16" s="43" t="s">
        <v>9</v>
      </c>
      <c r="C16" s="43"/>
      <c r="D16" s="24">
        <f>D14*D15</f>
        <v>1664</v>
      </c>
    </row>
    <row r="17" spans="2:4" ht="13.5" customHeight="1">
      <c r="B17" s="1"/>
      <c r="C17" s="13"/>
      <c r="D17" s="1"/>
    </row>
    <row r="18" spans="2:4" ht="18" customHeight="1">
      <c r="B18" s="31" t="s">
        <v>10</v>
      </c>
      <c r="C18" s="31"/>
      <c r="D18" s="31"/>
    </row>
    <row r="19" spans="2:4">
      <c r="B19" s="4" t="s">
        <v>11</v>
      </c>
      <c r="C19" s="4"/>
      <c r="D19" s="5">
        <f>INDEX('LIGNE DE VENTE'!H:H,MATCH(MAX('LIGNE DE VENTE'!I:I),'LIGNE DE VENTE'!I:I,0))</f>
        <v>1.38</v>
      </c>
    </row>
    <row r="20" spans="2:4">
      <c r="B20" s="2" t="s">
        <v>12</v>
      </c>
      <c r="C20" s="2"/>
      <c r="D20" s="12">
        <f>SUM(ligne_de_vente[poids_net])</f>
        <v>1280</v>
      </c>
    </row>
    <row r="21" spans="2:4">
      <c r="B21" s="2"/>
      <c r="C21" s="1"/>
      <c r="D21" s="1"/>
    </row>
    <row r="22" spans="2:4">
      <c r="B22" s="2" t="s">
        <v>13</v>
      </c>
      <c r="D22" s="5" cm="1">
        <f t="array" ref="D22">INFORMATIONS[Frais Commission]</f>
        <v>443.88</v>
      </c>
    </row>
    <row r="23" spans="2:4">
      <c r="B23" s="2" t="s">
        <v>14</v>
      </c>
      <c r="D23" s="5" cm="1">
        <f t="array" ref="D23">INFORMATIONS[Frais de transit]</f>
        <v>38.64</v>
      </c>
    </row>
    <row r="24" spans="2:4">
      <c r="B24" s="2" t="s">
        <v>15</v>
      </c>
      <c r="D24" s="5" cm="1">
        <f t="array" ref="D24">INFORMATIONS[Autre frais]</f>
        <v>56</v>
      </c>
    </row>
    <row r="25" spans="2:4">
      <c r="B25" s="1"/>
      <c r="C25" s="1"/>
      <c r="D25" s="1"/>
    </row>
    <row r="26" spans="2:4">
      <c r="B26" s="2" t="s">
        <v>16</v>
      </c>
      <c r="C26" s="3"/>
      <c r="D26" s="21" cm="1">
        <f t="array" ref="D26">INFORMATIONS[Frais UE]</f>
        <v>158</v>
      </c>
    </row>
    <row r="27" spans="2:4">
      <c r="B27" s="2" t="s">
        <v>17</v>
      </c>
      <c r="C27" s="3"/>
      <c r="D27" s="21" cm="1">
        <f t="array" ref="D27">INFORMATIONS[Frais INT]</f>
        <v>8</v>
      </c>
    </row>
    <row r="28" spans="2:4">
      <c r="B28" s="2"/>
      <c r="C28" s="3"/>
      <c r="D28" s="1"/>
    </row>
    <row r="29" spans="2:4">
      <c r="B29" s="2"/>
      <c r="C29" s="1"/>
      <c r="D29" s="1"/>
    </row>
    <row r="30" spans="2:4">
      <c r="B30" s="32" t="s">
        <v>18</v>
      </c>
      <c r="C30" s="32"/>
      <c r="D30" s="14">
        <f>D19*D14</f>
        <v>1766.3999999999999</v>
      </c>
    </row>
    <row r="31" spans="2:4">
      <c r="B31" s="32" t="s">
        <v>19</v>
      </c>
      <c r="C31" s="32"/>
      <c r="D31" s="14">
        <f>SUM(D22:D24)+SUM(D26:D27)</f>
        <v>704.52</v>
      </c>
    </row>
    <row r="32" spans="2:4">
      <c r="B32" s="32" t="s">
        <v>20</v>
      </c>
      <c r="C32" s="32"/>
      <c r="D32" s="14">
        <f>D30-D31</f>
        <v>1061.8799999999999</v>
      </c>
    </row>
    <row r="33" spans="2:4"/>
    <row r="34" spans="2:4" ht="18.75">
      <c r="B34" s="31" t="s">
        <v>21</v>
      </c>
      <c r="C34" s="31"/>
      <c r="D34" s="31"/>
    </row>
    <row r="35" spans="2:4"/>
    <row r="36" spans="2:4">
      <c r="B36" s="33" t="str">
        <f>IF(D16-D32&lt;0,
"VALEUR A REPORTER SUR LA DECLARATION : "&amp;ROUND(D16-D32,2)&amp;"€",
"VALEUR DECLARE MAINTENU"
)</f>
        <v>VALEUR DECLARE MAINTENU</v>
      </c>
      <c r="C36" s="34"/>
      <c r="D36" s="35"/>
    </row>
    <row r="37" spans="2:4">
      <c r="B37" s="22"/>
    </row>
    <row r="38" spans="2:4">
      <c r="B38" s="28" t="str">
        <f>IF((D20-D14)&gt;0,"DIFFERENCE : "&amp;ROUND(D20-D14,0),"PAS DE DIFFERENCE ("&amp;ROUND(D20-D14,0)&amp;"KG)")</f>
        <v>PAS DE DIFFERENCE (0KG)</v>
      </c>
      <c r="C38" s="29"/>
      <c r="D38" s="30"/>
    </row>
    <row r="39" spans="2:4"/>
  </sheetData>
  <mergeCells count="15">
    <mergeCell ref="A1:E1"/>
    <mergeCell ref="B3:D3"/>
    <mergeCell ref="A2:E2"/>
    <mergeCell ref="B18:D18"/>
    <mergeCell ref="B14:C14"/>
    <mergeCell ref="B15:C15"/>
    <mergeCell ref="B16:C16"/>
    <mergeCell ref="B13:D13"/>
    <mergeCell ref="C6:D6"/>
    <mergeCell ref="B38:D38"/>
    <mergeCell ref="B34:D34"/>
    <mergeCell ref="B30:C30"/>
    <mergeCell ref="B31:C31"/>
    <mergeCell ref="B32:C32"/>
    <mergeCell ref="B36:D36"/>
  </mergeCells>
  <conditionalFormatting sqref="B38:D38">
    <cfRule type="containsText" dxfId="5" priority="1" operator="containsText" text="DECLARATION COMPLEMENTAIRE">
      <formula>NOT(ISERROR(SEARCH("DECLARATION COMPLEMENTAIRE",B38)))</formula>
    </cfRule>
    <cfRule type="containsText" dxfId="4" priority="4" operator="containsText" text="PAS DE DIFFERENCE">
      <formula>NOT(ISERROR(SEARCH("PAS DE DIFFERENCE",B38)))</formula>
    </cfRule>
  </conditionalFormatting>
  <conditionalFormatting sqref="B36:D36">
    <cfRule type="containsText" dxfId="3" priority="3" operator="containsText" text="VALEUR A REPORTER SUR LA DECLARATION">
      <formula>NOT(ISERROR(SEARCH("VALEUR A REPORTER SUR LA DECLARATION",B36)))</formula>
    </cfRule>
  </conditionalFormatting>
  <conditionalFormatting sqref="B36:D36">
    <cfRule type="containsText" dxfId="2" priority="2" operator="containsText" text="VALEUR DECLARE MAINTENU">
      <formula>NOT(ISERROR(SEARCH("VALEUR DECLARE MAINTENU",B36)))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D173-1D7D-48E5-B40D-7D1BCA5952AA}">
  <dimension ref="A1:I3"/>
  <sheetViews>
    <sheetView workbookViewId="0">
      <selection activeCell="D10" sqref="D10"/>
    </sheetView>
  </sheetViews>
  <sheetFormatPr defaultColWidth="9.140625" defaultRowHeight="15"/>
  <cols>
    <col min="1" max="1" width="32" bestFit="1" customWidth="1"/>
    <col min="2" max="2" width="12.7109375" bestFit="1" customWidth="1"/>
    <col min="3" max="3" width="7.7109375" bestFit="1" customWidth="1"/>
    <col min="4" max="4" width="12.85546875" bestFit="1" customWidth="1"/>
    <col min="5" max="5" width="12.140625" bestFit="1" customWidth="1"/>
    <col min="6" max="6" width="18.42578125" bestFit="1" customWidth="1"/>
    <col min="8" max="8" width="19.28515625" bestFit="1" customWidth="1"/>
    <col min="9" max="9" width="19.85546875" bestFit="1" customWidth="1"/>
  </cols>
  <sheetData>
    <row r="1" spans="1:9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H1" s="16" t="s">
        <v>27</v>
      </c>
      <c r="I1" t="s">
        <v>28</v>
      </c>
    </row>
    <row r="2" spans="1:9">
      <c r="A2" t="s">
        <v>29</v>
      </c>
      <c r="B2" t="s">
        <v>30</v>
      </c>
      <c r="C2">
        <v>160</v>
      </c>
      <c r="D2">
        <v>670</v>
      </c>
      <c r="E2">
        <v>640</v>
      </c>
      <c r="F2">
        <v>1.38</v>
      </c>
      <c r="H2" s="17">
        <v>1.38</v>
      </c>
      <c r="I2" s="18">
        <v>640</v>
      </c>
    </row>
    <row r="3" spans="1:9">
      <c r="A3" t="s">
        <v>31</v>
      </c>
      <c r="B3" t="s">
        <v>30</v>
      </c>
      <c r="C3">
        <v>160</v>
      </c>
      <c r="D3">
        <v>703</v>
      </c>
      <c r="E3">
        <v>640</v>
      </c>
      <c r="F3">
        <v>1.5</v>
      </c>
      <c r="H3" s="17">
        <v>1.5</v>
      </c>
      <c r="I3" s="18">
        <v>640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8510-C5C5-4256-8B9D-7EF7F5679894}">
  <dimension ref="A1:O2"/>
  <sheetViews>
    <sheetView workbookViewId="0">
      <selection activeCell="C12" sqref="C12"/>
    </sheetView>
  </sheetViews>
  <sheetFormatPr defaultColWidth="9.140625" defaultRowHeight="15"/>
  <cols>
    <col min="1" max="1" width="9.85546875" bestFit="1" customWidth="1"/>
    <col min="2" max="2" width="10.85546875" bestFit="1" customWidth="1"/>
    <col min="3" max="3" width="25.85546875" bestFit="1" customWidth="1"/>
    <col min="4" max="4" width="16.7109375" bestFit="1" customWidth="1"/>
    <col min="5" max="5" width="19.7109375" bestFit="1" customWidth="1"/>
    <col min="6" max="6" width="12.5703125" bestFit="1" customWidth="1"/>
    <col min="7" max="7" width="10.5703125" bestFit="1" customWidth="1"/>
    <col min="8" max="8" width="11.140625" bestFit="1" customWidth="1"/>
    <col min="9" max="9" width="15.5703125" bestFit="1" customWidth="1"/>
    <col min="10" max="10" width="21.7109375" bestFit="1" customWidth="1"/>
    <col min="11" max="11" width="11.42578125" bestFit="1" customWidth="1"/>
    <col min="12" max="12" width="13" bestFit="1" customWidth="1"/>
    <col min="13" max="13" width="15.85546875" bestFit="1" customWidth="1"/>
    <col min="14" max="14" width="16.140625" bestFit="1" customWidth="1"/>
    <col min="15" max="15" width="22" bestFit="1" customWidth="1"/>
  </cols>
  <sheetData>
    <row r="1" spans="1:1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7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  <row r="2" spans="1:15">
      <c r="A2" t="s">
        <v>46</v>
      </c>
      <c r="B2">
        <v>905602</v>
      </c>
      <c r="C2" s="46">
        <v>46039</v>
      </c>
      <c r="D2">
        <v>38.64</v>
      </c>
      <c r="E2">
        <v>443.88</v>
      </c>
      <c r="F2">
        <v>56</v>
      </c>
      <c r="G2">
        <v>158</v>
      </c>
      <c r="H2">
        <v>8</v>
      </c>
      <c r="I2" s="45">
        <v>1280</v>
      </c>
      <c r="J2">
        <v>1.3</v>
      </c>
      <c r="K2" s="46">
        <v>46039</v>
      </c>
      <c r="L2" t="s">
        <v>47</v>
      </c>
      <c r="M2" t="s">
        <v>48</v>
      </c>
      <c r="N2" t="s">
        <v>49</v>
      </c>
      <c r="O2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2BF3C9BB17804BACBDD089609C2BE0" ma:contentTypeVersion="3" ma:contentTypeDescription="Crée un document." ma:contentTypeScope="" ma:versionID="8475c9f96c42386107a5c6a738ea30ee">
  <xsd:schema xmlns:xsd="http://www.w3.org/2001/XMLSchema" xmlns:xs="http://www.w3.org/2001/XMLSchema" xmlns:p="http://schemas.microsoft.com/office/2006/metadata/properties" xmlns:ns2="d60916c1-4158-4d99-b641-722642dbea29" targetNamespace="http://schemas.microsoft.com/office/2006/metadata/properties" ma:root="true" ma:fieldsID="dbde1063bd1fa1f94d8b2f4a1217afaf" ns2:_="">
    <xsd:import namespace="d60916c1-4158-4d99-b641-722642dbea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916c1-4158-4d99-b641-722642dbea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D18DF1-54D5-465D-A87A-6C9D9FFB12A2}"/>
</file>

<file path=customXml/itemProps2.xml><?xml version="1.0" encoding="utf-8"?>
<ds:datastoreItem xmlns:ds="http://schemas.openxmlformats.org/officeDocument/2006/customXml" ds:itemID="{63AC3DD8-2C3A-425D-B2AB-2840662C0CF7}"/>
</file>

<file path=customXml/itemProps3.xml><?xml version="1.0" encoding="utf-8"?>
<ds:datastoreItem xmlns:ds="http://schemas.openxmlformats.org/officeDocument/2006/customXml" ds:itemID="{9A4F5AEC-4204-4C63-A4AB-40134269A6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Geoffrey CLARABON</dc:creator>
  <cp:keywords/>
  <dc:description/>
  <cp:lastModifiedBy>Geoffrey CLARABON</cp:lastModifiedBy>
  <cp:revision/>
  <dcterms:created xsi:type="dcterms:W3CDTF">2025-10-07T14:41:17Z</dcterms:created>
  <dcterms:modified xsi:type="dcterms:W3CDTF">2026-02-11T17:01:40Z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0x010100C12BF3C9BB17804BACBDD089609C2BE0</vt:lpwstr>
  </property>
</Properties>
</file>